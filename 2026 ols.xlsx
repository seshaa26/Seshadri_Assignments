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paribas-my.sharepoint.com/personal/seshadri_srinivasan_asia_bnpparibas_com/Documents/F30643 User folder/Sesha 2023 assignments/PERS/"/>
    </mc:Choice>
  </mc:AlternateContent>
  <xr:revisionPtr revIDLastSave="55" documentId="8_{ACED10EB-8B76-481E-BC8C-EBA03459BB9B}" xr6:coauthVersionLast="47" xr6:coauthVersionMax="47" xr10:uidLastSave="{08890905-4F4E-40CA-9D5B-2D988A28E7EC}"/>
  <bookViews>
    <workbookView xWindow="-108" yWindow="-108" windowWidth="23256" windowHeight="12456" xr2:uid="{AAB41DD8-B4E5-4CF4-81B0-633BAD4FA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B6" i="1"/>
  <c r="F6" i="1" s="1"/>
  <c r="F3" i="1"/>
  <c r="F4" i="1"/>
  <c r="F5" i="1"/>
  <c r="H3" i="1"/>
  <c r="H4" i="1"/>
  <c r="H5" i="1"/>
  <c r="H6" i="1"/>
  <c r="H7" i="1"/>
  <c r="G7" i="1"/>
  <c r="G4" i="1"/>
  <c r="G5" i="1"/>
  <c r="G6" i="1"/>
  <c r="G3" i="1"/>
</calcChain>
</file>

<file path=xl/sharedStrings.xml><?xml version="1.0" encoding="utf-8"?>
<sst xmlns="http://schemas.openxmlformats.org/spreadsheetml/2006/main" count="4" uniqueCount="4">
  <si>
    <t>pf</t>
  </si>
  <si>
    <t>grad</t>
  </si>
  <si>
    <t>total</t>
  </si>
  <si>
    <t>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</si>
</sst>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E715-9578-4697-926A-029C662062CF}">
  <dimension ref="A2:H15"/>
  <sheetViews>
    <sheetView tabSelected="1" workbookViewId="0">
      <selection activeCell="E16" sqref="E16"/>
    </sheetView>
  </sheetViews>
  <sheetFormatPr defaultRowHeight="14.4" x14ac:dyDescent="0.3"/>
  <cols>
    <col min="7" max="7" width="12.33203125" style="1" customWidth="1"/>
  </cols>
  <sheetData>
    <row r="2" spans="1:8" x14ac:dyDescent="0.3">
      <c r="B2">
        <v>2023</v>
      </c>
      <c r="C2">
        <v>2024</v>
      </c>
      <c r="D2">
        <v>2025</v>
      </c>
      <c r="E2">
        <v>2026</v>
      </c>
    </row>
    <row r="3" spans="1:8" x14ac:dyDescent="0.3">
      <c r="A3" t="s">
        <v>2</v>
      </c>
      <c r="B3">
        <v>2000</v>
      </c>
      <c r="C3">
        <v>2169.6</v>
      </c>
      <c r="D3">
        <v>2367.4</v>
      </c>
      <c r="E3">
        <v>2696.46</v>
      </c>
      <c r="F3" s="2">
        <f>(C3/B3-1)*100</f>
        <v>8.4799999999999986</v>
      </c>
      <c r="G3" s="2">
        <f>(D3/C3-1)*100</f>
        <v>9.1168879056047203</v>
      </c>
      <c r="H3" s="2">
        <f>(E3/D3-1)*100</f>
        <v>13.89963673228014</v>
      </c>
    </row>
    <row r="4" spans="1:8" x14ac:dyDescent="0.3">
      <c r="A4" t="s">
        <v>0</v>
      </c>
      <c r="B4">
        <v>72</v>
      </c>
      <c r="C4">
        <v>77.760000000000005</v>
      </c>
      <c r="D4">
        <v>93.9</v>
      </c>
      <c r="E4">
        <v>121.27</v>
      </c>
      <c r="F4" s="1">
        <f>(C4/B4-1)*100</f>
        <v>8.0000000000000071</v>
      </c>
      <c r="G4" s="1">
        <f>(D4/C4-1)*100</f>
        <v>20.756172839506171</v>
      </c>
      <c r="H4" s="1">
        <f>(E4/D4-1)*100</f>
        <v>29.148029818956324</v>
      </c>
    </row>
    <row r="5" spans="1:8" x14ac:dyDescent="0.3">
      <c r="A5" t="s">
        <v>1</v>
      </c>
      <c r="B5">
        <v>28.8</v>
      </c>
      <c r="C5">
        <v>31.1</v>
      </c>
      <c r="D5">
        <v>37.6</v>
      </c>
      <c r="E5">
        <v>48.6</v>
      </c>
      <c r="F5" s="1">
        <f>(C5/B5-1)*100</f>
        <v>7.986111111111116</v>
      </c>
      <c r="G5" s="1">
        <f>(D5/C5-1)*100</f>
        <v>20.900321543408353</v>
      </c>
      <c r="H5" s="1">
        <f>(E5/D5-1)*100</f>
        <v>29.255319148936177</v>
      </c>
    </row>
    <row r="6" spans="1:8" x14ac:dyDescent="0.3">
      <c r="A6" t="s">
        <v>3</v>
      </c>
      <c r="B6">
        <f>B3-B4-B5</f>
        <v>1899.2</v>
      </c>
      <c r="C6">
        <v>2060.6</v>
      </c>
      <c r="D6">
        <v>2235</v>
      </c>
      <c r="E6">
        <v>2526.5</v>
      </c>
      <c r="F6" s="2">
        <f>(C6/B6-1)*100</f>
        <v>8.4983150800336915</v>
      </c>
      <c r="G6" s="2">
        <f>(D6/C6-1)*100</f>
        <v>8.4635543045714847</v>
      </c>
      <c r="H6" s="2">
        <f>(E6/D6-1)*100</f>
        <v>13.04250559284117</v>
      </c>
    </row>
    <row r="7" spans="1:8" x14ac:dyDescent="0.3">
      <c r="C7">
        <v>250</v>
      </c>
      <c r="D7">
        <v>340</v>
      </c>
      <c r="E7">
        <v>400</v>
      </c>
      <c r="F7" s="1"/>
      <c r="G7" s="1">
        <f>(D7/C7-1)*100</f>
        <v>36.000000000000007</v>
      </c>
      <c r="H7" s="1">
        <f>(E7/D7-1)*100</f>
        <v>17.647058823529417</v>
      </c>
    </row>
    <row r="12" spans="1:8" x14ac:dyDescent="0.3">
      <c r="E12">
        <f>E6-E4</f>
        <v>2405.23</v>
      </c>
    </row>
    <row r="13" spans="1:8" x14ac:dyDescent="0.3">
      <c r="E13">
        <f>330720/12/100</f>
        <v>275.60000000000002</v>
      </c>
    </row>
    <row r="14" spans="1:8" x14ac:dyDescent="0.3">
      <c r="E14">
        <f>E12-E13</f>
        <v>2129.63</v>
      </c>
    </row>
    <row r="15" spans="1:8" x14ac:dyDescent="0.3">
      <c r="E15">
        <f>E14/12</f>
        <v>177.46916666666667</v>
      </c>
    </row>
  </sheetData>
  <pageMargins left="0.7" right="0.7" top="0.75" bottom="0.75" header="0.3" footer="0.3"/>
  <headerFooter>
    <oddFooter>&amp;R_x000D_&amp;1#&amp;"Aptos"&amp;10&amp;K0078D7 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Seshadri SRINIVASAN</dc:creator>
  <cp:lastModifiedBy>Seshadri SRINIVASAN</cp:lastModifiedBy>
  <dcterms:created xsi:type="dcterms:W3CDTF">2026-02-27T15:15:36Z</dcterms:created>
  <dcterms:modified xsi:type="dcterms:W3CDTF">2026-02-27T16:15:47Z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2026-02-27T15:16:38Z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3751cda9-9c28-445c-a83b-4d4deca9f86b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